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57F2C72-F3F0-4071-B22D-F39A434ABF64}" xr6:coauthVersionLast="41" xr6:coauthVersionMax="41" xr10:uidLastSave="{00000000-0000-0000-0000-000000000000}"/>
  <bookViews>
    <workbookView xWindow="-108" yWindow="-108" windowWidth="23256" windowHeight="12456" xr2:uid="{00000000-000D-0000-FFFF-FFFF00000000}"/>
  </bookViews>
  <sheets>
    <sheet name="Deliveries" sheetId="1" r:id="rId1"/>
    <sheet name="Analysis" sheetId="3" r:id="rId2"/>
    <sheet name="Pivot Table 1" sheetId="2" r:id="rId3"/>
  </sheets>
  <calcPr calcId="191029"/>
  <pivotCaches>
    <pivotCache cacheId="5" r:id="rId4"/>
  </pivotCaches>
</workbook>
</file>

<file path=xl/calcChain.xml><?xml version="1.0" encoding="utf-8"?>
<calcChain xmlns="http://schemas.openxmlformats.org/spreadsheetml/2006/main">
  <c r="B4" i="3" l="1"/>
  <c r="B3" i="3"/>
  <c r="C2" i="3"/>
  <c r="B2" i="3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<sst xmlns="http://schemas.openxmlformats.org/spreadsheetml/2006/main" count="66" uniqueCount="21">
  <si>
    <t>Date</t>
  </si>
  <si>
    <t>Operational Zone</t>
  </si>
  <si>
    <t>Product Category</t>
  </si>
  <si>
    <t>Units Dispatched</t>
  </si>
  <si>
    <t>Delivery Window(Hours)</t>
  </si>
  <si>
    <t>Within SLA</t>
  </si>
  <si>
    <t>Customer Rating</t>
  </si>
  <si>
    <t>Rating Category</t>
  </si>
  <si>
    <t xml:space="preserve"> </t>
  </si>
  <si>
    <t>Average Delivery Window</t>
  </si>
  <si>
    <t>Juja</t>
  </si>
  <si>
    <t>Standard Supply</t>
  </si>
  <si>
    <t>Yes</t>
  </si>
  <si>
    <t xml:space="preserve"> Juja</t>
  </si>
  <si>
    <t>Ruaka</t>
  </si>
  <si>
    <t>Commercial Bulk</t>
  </si>
  <si>
    <t>No</t>
  </si>
  <si>
    <t>Total Units Dispatched (Commercial Bulk):</t>
  </si>
  <si>
    <t>Overall On-Time Delivery Rate:</t>
  </si>
  <si>
    <t>SUM of Units Dispatched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</si>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</sst>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164" fontId="1" fillId="0" borderId="0" xfId="0" applyNumberFormat="1" applyFont="1" applyAlignment="1"/>
    <xf numFmtId="10" fontId="1" fillId="0" borderId="0" xfId="0" applyNumberFormat="1" applyFont="1"/>
    <xf numFmtId="0" fontId="0" fillId="0" borderId="1" xfId="0" pivotButton="1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1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1" xfId="0" applyNumberFormat="1" applyFont="1" applyBorder="1" applyAlignment="1"/>
    <xf numFmtId="0" fontId="0" fillId="0" borderId="4" xfId="0" applyNumberFormat="1" applyFont="1" applyBorder="1" applyAlignment="1"/>
    <xf numFmtId="0" fontId="0" fillId="0" borderId="5" xfId="0" applyNumberFormat="1" applyFont="1" applyBorder="1" applyAlignment="1"/>
    <xf numFmtId="0" fontId="0" fillId="0" borderId="6" xfId="0" applyFont="1" applyBorder="1" applyAlignment="1"/>
    <xf numFmtId="0" fontId="0" fillId="0" borderId="6" xfId="0" applyNumberFormat="1" applyFont="1" applyBorder="1" applyAlignment="1"/>
    <xf numFmtId="0" fontId="0" fillId="0" borderId="0" xfId="0" applyNumberFormat="1" applyFont="1" applyAlignment="1"/>
    <xf numFmtId="0" fontId="0" fillId="0" borderId="7" xfId="0" applyNumberFormat="1" applyFont="1" applyBorder="1" applyAlignment="1"/>
    <xf numFmtId="0" fontId="0" fillId="0" borderId="8" xfId="0" applyFont="1" applyBorder="1" applyAlignment="1"/>
    <xf numFmtId="0" fontId="0" fillId="0" borderId="8" xfId="0" applyNumberFormat="1" applyFont="1" applyBorder="1" applyAlignment="1"/>
    <xf numFmtId="0" fontId="0" fillId="0" borderId="9" xfId="0" applyNumberFormat="1" applyFont="1" applyBorder="1" applyAlignment="1"/>
    <xf numFmtId="0" fontId="0" fillId="0" borderId="10" xfId="0" applyNumberFormat="1" applyFont="1" applyBorder="1" applyAlignment="1"/>
    <xf numFmtId="0" fontId="0" fillId="0" borderId="10" xfId="0" pivotButton="1" applyFont="1" applyBorder="1" applyAlignment="1"/>
    <xf numFmtId="0" fontId="0" fillId="0" borderId="1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6316.89365046296" refreshedVersion="6" recordCount="9" xr:uid="{00000000-000A-0000-FFFF-FFFF00000000}">
  <cacheSource type="worksheet">
    <worksheetSource ref="A1:Z1000" sheet="Deliveries"/>
  </cacheSource>
  <cacheFields count="26">
    <cacheField name="Date" numFmtId="0">
      <sharedItems containsNonDate="0" containsDate="1" containsString="0" containsBlank="1" minDate="2026-10-01T00:00:00" maxDate="2026-10-05T00:00:00"/>
    </cacheField>
    <cacheField name="Operational Zone" numFmtId="0">
      <sharedItems containsBlank="1" count="3">
        <s v="Juja"/>
        <s v="Ruaka"/>
        <m/>
      </sharedItems>
    </cacheField>
    <cacheField name="Product Category" numFmtId="0">
      <sharedItems containsBlank="1" count="3">
        <s v="Standard Supply"/>
        <s v="Commercial Bulk"/>
        <m/>
      </sharedItems>
    </cacheField>
    <cacheField name="Units Dispatched" numFmtId="0">
      <sharedItems containsString="0" containsBlank="1" containsNumber="1" containsInteger="1" minValue="8" maxValue="50"/>
    </cacheField>
    <cacheField name="Delivery Window(Hours)" numFmtId="0">
      <sharedItems containsString="0" containsBlank="1" containsNumber="1" minValue="1.5" maxValue="4.5"/>
    </cacheField>
    <cacheField name="Within SLA" numFmtId="0">
      <sharedItems containsBlank="1" count="3">
        <s v="Yes"/>
        <s v="No"/>
        <m/>
      </sharedItems>
    </cacheField>
    <cacheField name="Customer Rating" numFmtId="0">
      <sharedItems containsString="0" containsBlank="1" containsNumber="1" minValue="3.5" maxValue="5"/>
    </cacheField>
    <cacheField name="Rating Category" numFmtId="0">
      <sharedItems containsBlank="1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  <cacheField name=" 16" numFmtId="0">
      <sharedItems containsNonDate="0" containsString="0" containsBlank="1"/>
    </cacheField>
    <cacheField name=" 17" numFmtId="0">
      <sharedItems containsNonDate="0" containsString="0" containsBlank="1"/>
    </cacheField>
    <cacheField name=" 18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d v="2026-10-01T00:00:00"/>
    <x v="0"/>
    <x v="0"/>
    <n v="45"/>
    <n v="2.5"/>
    <x v="0"/>
    <n v="4.8"/>
    <s v="Excellent"/>
    <m/>
    <m/>
    <m/>
    <m/>
    <m/>
    <m/>
    <m/>
    <m/>
    <m/>
    <m/>
    <m/>
    <m/>
    <m/>
    <m/>
    <m/>
    <m/>
    <m/>
    <m/>
  </r>
  <r>
    <d v="2026-10-01T00:00:00"/>
    <x v="1"/>
    <x v="1"/>
    <n v="12"/>
    <n v="4.0999999999999996"/>
    <x v="1"/>
    <n v="3.9"/>
    <s v="Review Needed"/>
    <m/>
    <m/>
    <m/>
    <m/>
    <m/>
    <m/>
    <m/>
    <m/>
    <m/>
    <m/>
    <m/>
    <m/>
    <m/>
    <m/>
    <m/>
    <m/>
    <m/>
    <m/>
  </r>
  <r>
    <d v="2026-10-02T00:00:00"/>
    <x v="0"/>
    <x v="0"/>
    <n v="50"/>
    <n v="2"/>
    <x v="0"/>
    <n v="4.9000000000000004"/>
    <s v="Excellent"/>
    <m/>
    <m/>
    <m/>
    <m/>
    <m/>
    <m/>
    <m/>
    <m/>
    <m/>
    <m/>
    <m/>
    <m/>
    <m/>
    <m/>
    <m/>
    <m/>
    <m/>
    <m/>
  </r>
  <r>
    <d v="2026-10-02T00:00:00"/>
    <x v="1"/>
    <x v="0"/>
    <n v="35"/>
    <n v="3.5"/>
    <x v="0"/>
    <n v="4.5"/>
    <s v="Acceptable"/>
    <m/>
    <m/>
    <m/>
    <m/>
    <m/>
    <m/>
    <m/>
    <m/>
    <m/>
    <m/>
    <m/>
    <m/>
    <m/>
    <m/>
    <m/>
    <m/>
    <m/>
    <m/>
  </r>
  <r>
    <d v="2026-10-03T00:00:00"/>
    <x v="0"/>
    <x v="1"/>
    <n v="8"/>
    <n v="1.5"/>
    <x v="0"/>
    <n v="5"/>
    <s v="Excellent"/>
    <m/>
    <m/>
    <m/>
    <m/>
    <m/>
    <m/>
    <m/>
    <m/>
    <m/>
    <m/>
    <m/>
    <m/>
    <m/>
    <m/>
    <m/>
    <m/>
    <m/>
    <m/>
  </r>
  <r>
    <d v="2026-10-03T00:00:00"/>
    <x v="1"/>
    <x v="0"/>
    <n v="42"/>
    <n v="4.5"/>
    <x v="1"/>
    <n v="3.5"/>
    <s v="Review Needed"/>
    <m/>
    <m/>
    <m/>
    <m/>
    <m/>
    <m/>
    <m/>
    <m/>
    <m/>
    <m/>
    <m/>
    <m/>
    <m/>
    <m/>
    <m/>
    <m/>
    <m/>
    <m/>
  </r>
  <r>
    <d v="2026-10-04T00:00:00"/>
    <x v="0"/>
    <x v="0"/>
    <n v="38"/>
    <n v="2.2000000000000002"/>
    <x v="0"/>
    <n v="4.7"/>
    <s v="Acceptable"/>
    <m/>
    <m/>
    <m/>
    <m/>
    <m/>
    <m/>
    <m/>
    <m/>
    <m/>
    <m/>
    <m/>
    <m/>
    <m/>
    <m/>
    <m/>
    <m/>
    <m/>
    <m/>
  </r>
  <r>
    <d v="2026-10-04T00:00:00"/>
    <x v="1"/>
    <x v="1"/>
    <n v="15"/>
    <n v="3.8"/>
    <x v="0"/>
    <n v="4.2"/>
    <s v="Acceptable"/>
    <m/>
    <m/>
    <m/>
    <m/>
    <m/>
    <m/>
    <m/>
    <m/>
    <m/>
    <m/>
    <m/>
    <m/>
    <m/>
    <m/>
    <m/>
    <m/>
    <m/>
    <m/>
  </r>
  <r>
    <m/>
    <x v="2"/>
    <x v="2"/>
    <m/>
    <m/>
    <x v="2"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5" applyNumberFormats="0" applyBorderFormats="0" applyFontFormats="0" applyPatternFormats="0" applyAlignmentFormats="0" applyWidthHeightFormats="0" dataCaption="" updatedVersion="6" compact="0" compactData="0">
  <location ref="A3:D7" firstHeaderRow="1" firstDataRow="2" firstDataCol="1" rowPageCount="1" colPageCount="1"/>
  <pivotFields count="26">
    <pivotField name="Date" compact="0" numFmtId="164" outline="0" multipleItemSelectionAllowed="1" showAll="0"/>
    <pivotField name="Operational Zone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Product Category" axis="axisCol" compact="0" outline="0" multipleItemSelectionAllowed="1" showAll="0" sortType="ascending">
      <items count="4">
        <item x="1"/>
        <item x="0"/>
        <item x="2"/>
        <item t="default"/>
      </items>
    </pivotField>
    <pivotField name="Units Dispatched" dataField="1" compact="0" outline="0" multipleItemSelectionAllowed="1" showAll="0"/>
    <pivotField name="Delivery Window(Hours)" compact="0" outline="0" multipleItemSelectionAllowed="1" showAll="0"/>
    <pivotField name="Within SLA" axis="axisPage" compact="0" outline="0" multipleItemSelectionAllowed="1" showAll="0">
      <items count="4">
        <item x="0"/>
        <item h="1" x="1"/>
        <item h="1" x="2"/>
        <item t="default"/>
      </items>
    </pivotField>
    <pivotField name="Customer Rating" compact="0" outline="0" multipleItemSelectionAllowed="1" showAll="0"/>
    <pivotField name="Rating Category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  <pivotField name=" 16" compact="0" outline="0" multipleItemSelectionAllowed="1" showAll="0"/>
    <pivotField name=" 17" compact="0" outline="0" multipleItemSelectionAllowed="1" showAll="0"/>
    <pivotField name=" 18" compact="0" outline="0" multipleItemSelectionAllowed="1"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5" hier="0"/>
  </pageFields>
  <dataFields count="1">
    <dataField name="SUM of Units Dispatched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"/>
  <sheetViews>
    <sheetView tabSelected="1" workbookViewId="0">
      <selection activeCell="E12" sqref="E12"/>
    </sheetView>
  </sheetViews>
  <sheetFormatPr defaultColWidth="12.6640625" defaultRowHeight="15.75" customHeight="1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 t="s">
        <v>8</v>
      </c>
      <c r="N1" s="2" t="s">
        <v>8</v>
      </c>
      <c r="O1" s="2" t="s">
        <v>8</v>
      </c>
      <c r="P1" s="2" t="s">
        <v>8</v>
      </c>
      <c r="Q1" s="2" t="s">
        <v>8</v>
      </c>
      <c r="R1" s="2" t="s">
        <v>8</v>
      </c>
      <c r="S1" s="2" t="s">
        <v>8</v>
      </c>
      <c r="T1" s="2" t="s">
        <v>8</v>
      </c>
      <c r="U1" s="2" t="s">
        <v>8</v>
      </c>
      <c r="V1" s="2" t="s">
        <v>8</v>
      </c>
      <c r="W1" s="2" t="s">
        <v>8</v>
      </c>
      <c r="X1" s="2" t="s">
        <v>8</v>
      </c>
      <c r="Y1" s="2" t="s">
        <v>8</v>
      </c>
      <c r="Z1" s="2" t="s">
        <v>8</v>
      </c>
    </row>
    <row r="2" spans="1:26" x14ac:dyDescent="0.25">
      <c r="A2" s="3">
        <v>46296</v>
      </c>
      <c r="B2" s="1" t="s">
        <v>10</v>
      </c>
      <c r="C2" s="1" t="s">
        <v>11</v>
      </c>
      <c r="D2" s="1">
        <v>45</v>
      </c>
      <c r="E2" s="1">
        <v>2.5</v>
      </c>
      <c r="F2" s="1" t="s">
        <v>12</v>
      </c>
      <c r="G2" s="1">
        <v>4.8</v>
      </c>
      <c r="H2" s="2" t="str">
        <f t="shared" ref="H2:H9" si="0">IF(G2&gt;=4.8, "Excellent", IF(G2&gt;=4, "Acceptable", "Review Needed"))</f>
        <v>Excellent</v>
      </c>
    </row>
    <row r="3" spans="1:26" x14ac:dyDescent="0.25">
      <c r="A3" s="3">
        <v>46296</v>
      </c>
      <c r="B3" s="1" t="s">
        <v>14</v>
      </c>
      <c r="C3" s="1" t="s">
        <v>15</v>
      </c>
      <c r="D3" s="1">
        <v>12</v>
      </c>
      <c r="E3" s="1">
        <v>4.0999999999999996</v>
      </c>
      <c r="F3" s="1" t="s">
        <v>16</v>
      </c>
      <c r="G3" s="1">
        <v>3.9</v>
      </c>
      <c r="H3" s="2" t="str">
        <f t="shared" si="0"/>
        <v>Review Needed</v>
      </c>
    </row>
    <row r="4" spans="1:26" x14ac:dyDescent="0.25">
      <c r="A4" s="3">
        <v>46297</v>
      </c>
      <c r="B4" s="1" t="s">
        <v>10</v>
      </c>
      <c r="C4" s="1" t="s">
        <v>11</v>
      </c>
      <c r="D4" s="1">
        <v>50</v>
      </c>
      <c r="E4" s="1">
        <v>2</v>
      </c>
      <c r="F4" s="1" t="s">
        <v>12</v>
      </c>
      <c r="G4" s="1">
        <v>4.9000000000000004</v>
      </c>
      <c r="H4" s="2" t="str">
        <f t="shared" si="0"/>
        <v>Excellent</v>
      </c>
    </row>
    <row r="5" spans="1:26" x14ac:dyDescent="0.25">
      <c r="A5" s="3">
        <v>46297</v>
      </c>
      <c r="B5" s="1" t="s">
        <v>14</v>
      </c>
      <c r="C5" s="1" t="s">
        <v>11</v>
      </c>
      <c r="D5" s="1">
        <v>35</v>
      </c>
      <c r="E5" s="1">
        <v>3.5</v>
      </c>
      <c r="F5" s="1" t="s">
        <v>12</v>
      </c>
      <c r="G5" s="1">
        <v>4.5</v>
      </c>
      <c r="H5" s="2" t="str">
        <f t="shared" si="0"/>
        <v>Acceptable</v>
      </c>
    </row>
    <row r="6" spans="1:26" x14ac:dyDescent="0.25">
      <c r="A6" s="3">
        <v>46298</v>
      </c>
      <c r="B6" s="1" t="s">
        <v>10</v>
      </c>
      <c r="C6" s="1" t="s">
        <v>15</v>
      </c>
      <c r="D6" s="1">
        <v>8</v>
      </c>
      <c r="E6" s="1">
        <v>1.5</v>
      </c>
      <c r="F6" s="1" t="s">
        <v>12</v>
      </c>
      <c r="G6" s="1">
        <v>5</v>
      </c>
      <c r="H6" s="2" t="str">
        <f t="shared" si="0"/>
        <v>Excellent</v>
      </c>
    </row>
    <row r="7" spans="1:26" x14ac:dyDescent="0.25">
      <c r="A7" s="3">
        <v>46298</v>
      </c>
      <c r="B7" s="1" t="s">
        <v>14</v>
      </c>
      <c r="C7" s="1" t="s">
        <v>11</v>
      </c>
      <c r="D7" s="1">
        <v>42</v>
      </c>
      <c r="E7" s="1">
        <v>4.5</v>
      </c>
      <c r="F7" s="1" t="s">
        <v>16</v>
      </c>
      <c r="G7" s="1">
        <v>3.5</v>
      </c>
      <c r="H7" s="2" t="str">
        <f t="shared" si="0"/>
        <v>Review Needed</v>
      </c>
    </row>
    <row r="8" spans="1:26" x14ac:dyDescent="0.25">
      <c r="A8" s="3">
        <v>46299</v>
      </c>
      <c r="B8" s="1" t="s">
        <v>10</v>
      </c>
      <c r="C8" s="1" t="s">
        <v>11</v>
      </c>
      <c r="D8" s="1">
        <v>38</v>
      </c>
      <c r="E8" s="1">
        <v>2.2000000000000002</v>
      </c>
      <c r="F8" s="1" t="s">
        <v>12</v>
      </c>
      <c r="G8" s="1">
        <v>4.7</v>
      </c>
      <c r="H8" s="2" t="str">
        <f t="shared" si="0"/>
        <v>Acceptable</v>
      </c>
    </row>
    <row r="9" spans="1:26" x14ac:dyDescent="0.25">
      <c r="A9" s="3">
        <v>46299</v>
      </c>
      <c r="B9" s="1" t="s">
        <v>14</v>
      </c>
      <c r="C9" s="1" t="s">
        <v>15</v>
      </c>
      <c r="D9" s="1">
        <v>15</v>
      </c>
      <c r="E9" s="1">
        <v>3.8</v>
      </c>
      <c r="F9" s="1" t="s">
        <v>12</v>
      </c>
      <c r="G9" s="1">
        <v>4.2</v>
      </c>
      <c r="H9" s="2" t="str">
        <f t="shared" si="0"/>
        <v>Acceptable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"/>
  <sheetViews>
    <sheetView workbookViewId="0"/>
  </sheetViews>
  <sheetFormatPr defaultColWidth="12.6640625" defaultRowHeight="15.75" customHeight="1" x14ac:dyDescent="0.25"/>
  <cols>
    <col min="1" max="1" width="33.77734375" customWidth="1"/>
  </cols>
  <sheetData>
    <row r="1" spans="1:3" x14ac:dyDescent="0.25">
      <c r="A1" s="1" t="s">
        <v>9</v>
      </c>
      <c r="B1" s="1" t="s">
        <v>13</v>
      </c>
      <c r="C1" s="1" t="s">
        <v>14</v>
      </c>
    </row>
    <row r="2" spans="1:3" x14ac:dyDescent="0.25">
      <c r="B2" s="2">
        <f>AVERAGEIF(Deliveries!B:B,"Juja",Deliveries!E:E)</f>
        <v>2.0499999999999998</v>
      </c>
      <c r="C2" s="2">
        <f>AVERAGEIF(Deliveries!B:B, "Ruaka", Deliveries!E:E)</f>
        <v>3.9749999999999996</v>
      </c>
    </row>
    <row r="3" spans="1:3" x14ac:dyDescent="0.25">
      <c r="A3" s="1" t="s">
        <v>17</v>
      </c>
      <c r="B3" s="2">
        <f>SUMIF(Deliveries!C:C, "Commercial Bulk", Deliveries!D:D)</f>
        <v>35</v>
      </c>
    </row>
    <row r="4" spans="1:3" x14ac:dyDescent="0.25">
      <c r="A4" s="1" t="s">
        <v>18</v>
      </c>
      <c r="B4" s="4">
        <f>COUNTIF(Deliveries!F:F, "Yes") / (COUNTIF(Deliveries!F:F, "Yes") + COUNTIF(Deliveries!F:F, "No"))</f>
        <v>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7"/>
  <sheetViews>
    <sheetView showGridLines="0" workbookViewId="0"/>
  </sheetViews>
  <sheetFormatPr defaultColWidth="12.6640625" defaultRowHeight="15.75" customHeight="1" x14ac:dyDescent="0.25"/>
  <sheetData>
    <row r="1" spans="1:4" ht="13.2" x14ac:dyDescent="0.25">
      <c r="A1" s="22" t="s">
        <v>5</v>
      </c>
      <c r="B1" s="23" t="s">
        <v>12</v>
      </c>
    </row>
    <row r="3" spans="1:4" ht="13.2" x14ac:dyDescent="0.25">
      <c r="A3" s="5" t="s">
        <v>19</v>
      </c>
      <c r="B3" s="5" t="s">
        <v>2</v>
      </c>
      <c r="C3" s="6"/>
      <c r="D3" s="7"/>
    </row>
    <row r="4" spans="1:4" ht="13.2" x14ac:dyDescent="0.25">
      <c r="A4" s="5" t="s">
        <v>1</v>
      </c>
      <c r="B4" s="8" t="s">
        <v>15</v>
      </c>
      <c r="C4" s="9" t="s">
        <v>11</v>
      </c>
      <c r="D4" s="10" t="s">
        <v>20</v>
      </c>
    </row>
    <row r="5" spans="1:4" ht="13.2" x14ac:dyDescent="0.25">
      <c r="A5" s="8" t="s">
        <v>10</v>
      </c>
      <c r="B5" s="11">
        <v>8</v>
      </c>
      <c r="C5" s="12">
        <v>133</v>
      </c>
      <c r="D5" s="13">
        <v>141</v>
      </c>
    </row>
    <row r="6" spans="1:4" ht="15.75" customHeight="1" x14ac:dyDescent="0.25">
      <c r="A6" s="14" t="s">
        <v>14</v>
      </c>
      <c r="B6" s="15">
        <v>15</v>
      </c>
      <c r="C6" s="16">
        <v>35</v>
      </c>
      <c r="D6" s="17">
        <v>50</v>
      </c>
    </row>
    <row r="7" spans="1:4" ht="15.75" customHeight="1" x14ac:dyDescent="0.25">
      <c r="A7" s="18" t="s">
        <v>20</v>
      </c>
      <c r="B7" s="19">
        <v>23</v>
      </c>
      <c r="C7" s="20">
        <v>168</v>
      </c>
      <c r="D7" s="21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Deliveries</vt:lpstr>
      <vt:lpstr>Analysis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2026-10-21T18:27:10Z</dcterms:modified>
</cp:coreProperties>
</file>